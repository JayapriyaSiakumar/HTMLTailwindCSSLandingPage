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3366B1-92C8-48C9-98C0-FB7B70C8D4F8}" xr6:coauthVersionLast="36" xr6:coauthVersionMax="36" xr10:uidLastSave="{00000000-0000-0000-0000-000000000000}"/>
  <bookViews>
    <workbookView xWindow="0" yWindow="0" windowWidth="22260" windowHeight="12650" activeTab="4" xr2:uid="{00000000-000D-0000-FFFF-FFFF00000000}"/>
  </bookViews>
  <sheets>
    <sheet name="PO 154477" sheetId="1" r:id="rId1"/>
    <sheet name="PO 154385" sheetId="2" r:id="rId2"/>
    <sheet name="PO 160218" sheetId="3" r:id="rId3"/>
    <sheet name="PO 160219" sheetId="4" r:id="rId4"/>
    <sheet name="PO 159289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5" l="1"/>
  <c r="L12" i="5"/>
  <c r="K12" i="5"/>
  <c r="I8" i="5"/>
  <c r="I7" i="5"/>
  <c r="I6" i="5"/>
  <c r="I5" i="5"/>
  <c r="M12" i="4"/>
  <c r="L12" i="4"/>
  <c r="K12" i="4"/>
  <c r="I8" i="4"/>
  <c r="I7" i="4"/>
  <c r="I6" i="4"/>
  <c r="I5" i="4"/>
  <c r="I12" i="4" s="1"/>
  <c r="M12" i="3"/>
  <c r="L12" i="3"/>
  <c r="K12" i="3"/>
  <c r="I8" i="3"/>
  <c r="I7" i="3"/>
  <c r="I6" i="3"/>
  <c r="I5" i="3"/>
  <c r="M15" i="2"/>
  <c r="L15" i="2"/>
  <c r="K15" i="2"/>
  <c r="I11" i="2"/>
  <c r="I10" i="2"/>
  <c r="I9" i="2"/>
  <c r="I8" i="2"/>
  <c r="I7" i="2"/>
  <c r="I6" i="2"/>
  <c r="I5" i="2"/>
  <c r="I12" i="5" l="1"/>
  <c r="I12" i="3"/>
  <c r="I15" i="2"/>
  <c r="M15" i="1"/>
  <c r="L15" i="1"/>
  <c r="K15" i="1"/>
  <c r="I11" i="1"/>
  <c r="I10" i="1"/>
  <c r="I9" i="1"/>
  <c r="I8" i="1"/>
  <c r="I7" i="1"/>
  <c r="I6" i="1"/>
  <c r="I5" i="1"/>
  <c r="I15" i="1" l="1"/>
</calcChain>
</file>

<file path=xl/sharedStrings.xml><?xml version="1.0" encoding="utf-8"?>
<sst xmlns="http://schemas.openxmlformats.org/spreadsheetml/2006/main" count="158" uniqueCount="23">
  <si>
    <t>Packing List</t>
  </si>
  <si>
    <t>CUSTOMER  PO</t>
  </si>
  <si>
    <t>BIO PO</t>
    <phoneticPr fontId="0" type="noConversion"/>
  </si>
  <si>
    <t>SKU(ITEM)</t>
  </si>
  <si>
    <t>DESCRIPTION</t>
  </si>
  <si>
    <t>FIBER CONTENT</t>
  </si>
  <si>
    <t>CARGO READY DATE</t>
    <phoneticPr fontId="0" type="noConversion"/>
  </si>
  <si>
    <t>Total Quantity</t>
  </si>
  <si>
    <t>Quantity Per Carton</t>
  </si>
  <si>
    <t>Total Cartons</t>
  </si>
  <si>
    <t>Carton Dimensions
(CM)</t>
  </si>
  <si>
    <t>Net W.
(KGS)</t>
  </si>
  <si>
    <t>Gross W.
(KGS)</t>
  </si>
  <si>
    <t>CBM
(m3)</t>
  </si>
  <si>
    <t>Grand Total:</t>
  </si>
  <si>
    <t>W-9306377</t>
  </si>
  <si>
    <t>SWLG326 SWLOGO SST</t>
  </si>
  <si>
    <t>100% COTTON</t>
  </si>
  <si>
    <t>58X40X20 CM</t>
  </si>
  <si>
    <t>L-9306298</t>
  </si>
  <si>
    <t>V9235</t>
  </si>
  <si>
    <t>V9241</t>
  </si>
  <si>
    <t>60x50x20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</si>
</sst>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0000"/>
    <numFmt numFmtId="166" formatCode="0.000"/>
  </numFmts>
  <fonts count="1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宋体"/>
      <charset val="134"/>
    </font>
    <font>
      <sz val="8"/>
      <color theme="1"/>
      <name val="Calibri"/>
      <family val="2"/>
      <scheme val="minor"/>
    </font>
    <font>
      <sz val="11"/>
      <color rgb="FF000000"/>
      <name val="CourierStd"/>
    </font>
    <font>
      <sz val="10"/>
      <color rgb="FF000000"/>
      <name val="CourierStd"/>
    </font>
    <font>
      <sz val="10"/>
      <color rgb="FF000000"/>
      <name val="ArialMT"/>
    </font>
  </fonts>
  <fills count="4">
    <fill>
      <patternFill patternType="none"/>
    </fill>
    <fill>
      <patternFill patternType="gray125"/>
    </fill>
    <fill>
      <patternFill patternType="solid">
        <fgColor rgb="FFCACAD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4" xfId="0" applyBorder="1"/>
    <xf numFmtId="0" fontId="2" fillId="2" borderId="7" xfId="0" applyFont="1" applyFill="1" applyBorder="1" applyAlignment="1">
      <alignment horizontal="right" wrapText="1"/>
    </xf>
    <xf numFmtId="164" fontId="2" fillId="2" borderId="7" xfId="0" applyNumberFormat="1" applyFont="1" applyFill="1" applyBorder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166" fontId="3" fillId="0" borderId="6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right" wrapText="1"/>
    </xf>
    <xf numFmtId="0" fontId="3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0" fontId="3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wrapText="1"/>
    </xf>
    <xf numFmtId="1" fontId="8" fillId="0" borderId="0" xfId="0" applyNumberFormat="1" applyFont="1" applyAlignment="1">
      <alignment vertical="center" wrapText="1"/>
    </xf>
    <xf numFmtId="1" fontId="8" fillId="0" borderId="0" xfId="0" applyNumberFormat="1" applyFont="1"/>
    <xf numFmtId="1" fontId="9" fillId="0" borderId="2" xfId="0" applyNumberFormat="1" applyFont="1" applyBorder="1" applyAlignment="1">
      <alignment vertical="center" wrapText="1"/>
    </xf>
    <xf numFmtId="1" fontId="9" fillId="0" borderId="2" xfId="0" applyNumberFormat="1" applyFont="1" applyBorder="1"/>
    <xf numFmtId="1" fontId="10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A9" sqref="A9"/>
    </sheetView>
  </sheetViews>
  <sheetFormatPr defaultRowHeight="14.5"/>
  <cols>
    <col min="1" max="1" width="12.6328125" bestFit="1" customWidth="1"/>
    <col min="3" max="3" width="11.7265625" bestFit="1" customWidth="1"/>
    <col min="4" max="4" width="23.08984375" customWidth="1"/>
    <col min="5" max="5" width="12.6328125" customWidth="1"/>
    <col min="10" max="10" width="11.26953125" customWidth="1"/>
    <col min="11" max="11" width="8.453125" customWidth="1"/>
  </cols>
  <sheetData>
    <row r="1" spans="1:13" ht="19.5">
      <c r="B1" s="33" t="s">
        <v>0</v>
      </c>
      <c r="C1" s="33"/>
      <c r="D1" s="33"/>
      <c r="E1" s="33"/>
      <c r="F1" s="34"/>
      <c r="G1" s="33"/>
      <c r="H1" s="33"/>
      <c r="I1" s="33"/>
      <c r="J1" s="33"/>
      <c r="K1" s="33"/>
      <c r="L1" s="33"/>
      <c r="M1" s="33"/>
    </row>
    <row r="2" spans="1:13">
      <c r="B2" s="35"/>
      <c r="C2" s="35"/>
      <c r="D2" s="35"/>
      <c r="E2" s="35"/>
      <c r="F2" s="36"/>
      <c r="G2" s="35"/>
      <c r="H2" s="35"/>
      <c r="I2" s="35"/>
      <c r="J2" s="35"/>
      <c r="K2" s="35"/>
      <c r="L2" s="35"/>
    </row>
    <row r="3" spans="1:13">
      <c r="B3" s="35"/>
      <c r="C3" s="35"/>
      <c r="D3" s="35"/>
      <c r="E3" s="35"/>
      <c r="F3" s="36"/>
      <c r="G3" s="35"/>
      <c r="H3" s="35"/>
      <c r="I3" s="35"/>
      <c r="J3" s="35"/>
      <c r="K3" s="35"/>
      <c r="L3" s="35"/>
    </row>
    <row r="4" spans="1:13" ht="39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>
      <c r="A5" s="5" t="s">
        <v>15</v>
      </c>
      <c r="B5" s="6">
        <v>154477</v>
      </c>
      <c r="C5" s="7">
        <v>401060232385</v>
      </c>
      <c r="D5" s="8" t="s">
        <v>16</v>
      </c>
      <c r="E5" s="9" t="s">
        <v>17</v>
      </c>
      <c r="F5" s="10">
        <v>46007</v>
      </c>
      <c r="G5" s="11">
        <v>96</v>
      </c>
      <c r="H5" s="12">
        <v>24</v>
      </c>
      <c r="I5" s="12">
        <f>G5/H5</f>
        <v>4</v>
      </c>
      <c r="J5" s="13" t="s">
        <v>18</v>
      </c>
      <c r="K5" s="14">
        <v>17.2</v>
      </c>
      <c r="L5" s="14">
        <v>21.6</v>
      </c>
      <c r="M5" s="15">
        <v>0.185</v>
      </c>
    </row>
    <row r="6" spans="1:13">
      <c r="A6" s="16"/>
      <c r="B6" s="6">
        <v>154477</v>
      </c>
      <c r="C6" s="7">
        <v>401060232408</v>
      </c>
      <c r="D6" s="8" t="s">
        <v>16</v>
      </c>
      <c r="E6" s="9" t="s">
        <v>17</v>
      </c>
      <c r="F6" s="10">
        <v>46007</v>
      </c>
      <c r="G6" s="11">
        <v>192</v>
      </c>
      <c r="H6" s="12">
        <v>24</v>
      </c>
      <c r="I6" s="12">
        <f t="shared" ref="I6:I11" si="0">G6/H6</f>
        <v>8</v>
      </c>
      <c r="J6" s="13" t="s">
        <v>18</v>
      </c>
      <c r="K6" s="14">
        <v>38.4</v>
      </c>
      <c r="L6" s="14">
        <v>47.2</v>
      </c>
      <c r="M6" s="9">
        <v>0.371</v>
      </c>
    </row>
    <row r="7" spans="1:13">
      <c r="A7" s="16"/>
      <c r="B7" s="6">
        <v>154477</v>
      </c>
      <c r="C7" s="7">
        <v>401060232422</v>
      </c>
      <c r="D7" s="8" t="s">
        <v>16</v>
      </c>
      <c r="E7" s="9" t="s">
        <v>17</v>
      </c>
      <c r="F7" s="10">
        <v>46007</v>
      </c>
      <c r="G7" s="11">
        <v>336</v>
      </c>
      <c r="H7" s="12">
        <v>24</v>
      </c>
      <c r="I7" s="12">
        <f t="shared" si="0"/>
        <v>14</v>
      </c>
      <c r="J7" s="13" t="s">
        <v>18</v>
      </c>
      <c r="K7" s="14">
        <v>74.2</v>
      </c>
      <c r="L7" s="14">
        <v>89.6</v>
      </c>
      <c r="M7" s="15">
        <v>0.65</v>
      </c>
    </row>
    <row r="8" spans="1:13">
      <c r="A8" s="16"/>
      <c r="B8" s="6">
        <v>154477</v>
      </c>
      <c r="C8" s="7">
        <v>401060232446</v>
      </c>
      <c r="D8" s="8" t="s">
        <v>16</v>
      </c>
      <c r="E8" s="9" t="s">
        <v>17</v>
      </c>
      <c r="F8" s="10">
        <v>46007</v>
      </c>
      <c r="G8" s="11">
        <v>480</v>
      </c>
      <c r="H8" s="12">
        <v>24</v>
      </c>
      <c r="I8" s="12">
        <f t="shared" si="0"/>
        <v>20</v>
      </c>
      <c r="J8" s="13" t="s">
        <v>18</v>
      </c>
      <c r="K8" s="14">
        <v>106</v>
      </c>
      <c r="L8" s="14">
        <v>128</v>
      </c>
      <c r="M8" s="15">
        <v>0.92800000000000005</v>
      </c>
    </row>
    <row r="9" spans="1:13">
      <c r="A9" s="16"/>
      <c r="B9" s="6">
        <v>154477</v>
      </c>
      <c r="C9" s="7">
        <v>401060232460</v>
      </c>
      <c r="D9" s="8" t="s">
        <v>16</v>
      </c>
      <c r="E9" s="9" t="s">
        <v>17</v>
      </c>
      <c r="F9" s="10">
        <v>46007</v>
      </c>
      <c r="G9" s="11">
        <v>360</v>
      </c>
      <c r="H9" s="12">
        <v>24</v>
      </c>
      <c r="I9" s="12">
        <f t="shared" si="0"/>
        <v>15</v>
      </c>
      <c r="J9" s="13" t="s">
        <v>18</v>
      </c>
      <c r="K9" s="14">
        <v>84</v>
      </c>
      <c r="L9" s="14">
        <v>100.5</v>
      </c>
      <c r="M9" s="15">
        <v>0.69599999999999995</v>
      </c>
    </row>
    <row r="10" spans="1:13">
      <c r="A10" s="16"/>
      <c r="B10" s="6">
        <v>154477</v>
      </c>
      <c r="C10" s="7">
        <v>401060232484</v>
      </c>
      <c r="D10" s="8" t="s">
        <v>16</v>
      </c>
      <c r="E10" s="9" t="s">
        <v>17</v>
      </c>
      <c r="F10" s="10">
        <v>46007</v>
      </c>
      <c r="G10" s="11">
        <v>216</v>
      </c>
      <c r="H10" s="12">
        <v>24</v>
      </c>
      <c r="I10" s="12">
        <f t="shared" si="0"/>
        <v>9</v>
      </c>
      <c r="J10" s="13" t="s">
        <v>18</v>
      </c>
      <c r="K10" s="14">
        <v>54</v>
      </c>
      <c r="L10" s="14">
        <v>64</v>
      </c>
      <c r="M10" s="9">
        <v>0.41799999999999998</v>
      </c>
    </row>
    <row r="11" spans="1:13">
      <c r="A11" s="16"/>
      <c r="B11" s="6">
        <v>154477</v>
      </c>
      <c r="C11" s="7">
        <v>401060232507</v>
      </c>
      <c r="D11" s="8" t="s">
        <v>16</v>
      </c>
      <c r="E11" s="9" t="s">
        <v>17</v>
      </c>
      <c r="F11" s="10">
        <v>46007</v>
      </c>
      <c r="G11" s="11">
        <v>120</v>
      </c>
      <c r="H11" s="12">
        <v>24</v>
      </c>
      <c r="I11" s="12">
        <f t="shared" si="0"/>
        <v>5</v>
      </c>
      <c r="J11" s="13" t="s">
        <v>18</v>
      </c>
      <c r="K11" s="14">
        <v>32.5</v>
      </c>
      <c r="L11" s="14">
        <v>38</v>
      </c>
      <c r="M11" s="9">
        <v>0.23200000000000001</v>
      </c>
    </row>
    <row r="12" spans="1:13">
      <c r="A12" s="16"/>
      <c r="B12" s="6"/>
      <c r="C12" s="9"/>
      <c r="D12" s="17"/>
      <c r="E12" s="18"/>
      <c r="F12" s="10"/>
      <c r="G12" s="19"/>
      <c r="H12" s="12"/>
      <c r="I12" s="12"/>
      <c r="J12" s="13"/>
      <c r="K12" s="20"/>
      <c r="L12" s="20"/>
      <c r="M12" s="21"/>
    </row>
    <row r="13" spans="1:13">
      <c r="A13" s="22"/>
      <c r="B13" s="37"/>
      <c r="C13" s="37"/>
      <c r="D13" s="37"/>
      <c r="E13" s="37"/>
      <c r="F13" s="38"/>
      <c r="G13" s="37"/>
      <c r="H13" s="37"/>
      <c r="I13" s="37"/>
      <c r="J13" s="37"/>
      <c r="K13" s="37"/>
      <c r="L13" s="37"/>
      <c r="M13" s="23"/>
    </row>
    <row r="14" spans="1:13" ht="15" thickBot="1">
      <c r="A14" s="22"/>
      <c r="B14" s="39"/>
      <c r="C14" s="39"/>
      <c r="D14" s="39"/>
      <c r="E14" s="39"/>
      <c r="F14" s="40"/>
      <c r="G14" s="39"/>
      <c r="H14" s="39"/>
      <c r="I14" s="39"/>
      <c r="J14" s="39"/>
      <c r="K14" s="39"/>
      <c r="L14" s="39"/>
      <c r="M14" s="23"/>
    </row>
    <row r="15" spans="1:13" ht="15" thickBot="1">
      <c r="A15" s="22"/>
      <c r="B15" s="30" t="s">
        <v>14</v>
      </c>
      <c r="C15" s="31"/>
      <c r="D15" s="24"/>
      <c r="E15" s="24"/>
      <c r="F15" s="25"/>
      <c r="G15" s="32"/>
      <c r="H15" s="32"/>
      <c r="I15" s="26">
        <f>SUM(I5:I14)</f>
        <v>75</v>
      </c>
      <c r="J15" s="26"/>
      <c r="K15" s="27">
        <f>SUM(K5:K14)</f>
        <v>406.3</v>
      </c>
      <c r="L15" s="27">
        <f>SUM(L5:L14)</f>
        <v>488.9</v>
      </c>
      <c r="M15" s="28">
        <f>SUM(M5:M14)</f>
        <v>3.4800000000000004</v>
      </c>
    </row>
  </sheetData>
  <mergeCells count="7">
    <mergeCell ref="B15:C15"/>
    <mergeCell ref="G15:H15"/>
    <mergeCell ref="B1:M1"/>
    <mergeCell ref="B2:L2"/>
    <mergeCell ref="B3:L3"/>
    <mergeCell ref="B13:L13"/>
    <mergeCell ref="B14:L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408B-66A7-4D20-AF93-11CA7B422730}">
  <dimension ref="A1:M15"/>
  <sheetViews>
    <sheetView workbookViewId="0">
      <selection activeCell="A8" sqref="A8"/>
    </sheetView>
  </sheetViews>
  <sheetFormatPr defaultRowHeight="14.5"/>
  <cols>
    <col min="1" max="1" width="12.6328125" bestFit="1" customWidth="1"/>
    <col min="2" max="2" width="9.26953125" customWidth="1"/>
    <col min="3" max="3" width="12.26953125" customWidth="1"/>
    <col min="4" max="4" width="22.26953125" bestFit="1" customWidth="1"/>
    <col min="5" max="5" width="8.81640625" customWidth="1"/>
    <col min="10" max="10" width="12" customWidth="1"/>
  </cols>
  <sheetData>
    <row r="1" spans="1:13" ht="19.5">
      <c r="B1" s="33" t="s">
        <v>0</v>
      </c>
      <c r="C1" s="33"/>
      <c r="D1" s="33"/>
      <c r="E1" s="33"/>
      <c r="F1" s="34"/>
      <c r="G1" s="33"/>
      <c r="H1" s="33"/>
      <c r="I1" s="33"/>
      <c r="J1" s="33"/>
      <c r="K1" s="33"/>
      <c r="L1" s="33"/>
      <c r="M1" s="33"/>
    </row>
    <row r="2" spans="1:13">
      <c r="B2" s="35"/>
      <c r="C2" s="35"/>
      <c r="D2" s="35"/>
      <c r="E2" s="35"/>
      <c r="F2" s="36"/>
      <c r="G2" s="35"/>
      <c r="H2" s="35"/>
      <c r="I2" s="35"/>
      <c r="J2" s="35"/>
      <c r="K2" s="35"/>
      <c r="L2" s="35"/>
    </row>
    <row r="3" spans="1:13">
      <c r="B3" s="35"/>
      <c r="C3" s="35"/>
      <c r="D3" s="35"/>
      <c r="E3" s="35"/>
      <c r="F3" s="36"/>
      <c r="G3" s="35"/>
      <c r="H3" s="35"/>
      <c r="I3" s="35"/>
      <c r="J3" s="35"/>
      <c r="K3" s="35"/>
      <c r="L3" s="35"/>
    </row>
    <row r="4" spans="1:13" ht="52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ht="26">
      <c r="A5" s="5" t="s">
        <v>19</v>
      </c>
      <c r="B5" s="6">
        <v>154385</v>
      </c>
      <c r="C5" s="7">
        <v>401060232385</v>
      </c>
      <c r="D5" s="8" t="s">
        <v>16</v>
      </c>
      <c r="E5" s="9" t="s">
        <v>17</v>
      </c>
      <c r="F5" s="10">
        <v>46007</v>
      </c>
      <c r="G5" s="11">
        <v>72</v>
      </c>
      <c r="H5" s="12">
        <v>24</v>
      </c>
      <c r="I5" s="12">
        <f>G5/H5</f>
        <v>3</v>
      </c>
      <c r="J5" s="13" t="s">
        <v>18</v>
      </c>
      <c r="K5" s="14">
        <v>13</v>
      </c>
      <c r="L5" s="14">
        <v>16.5</v>
      </c>
      <c r="M5" s="15">
        <v>0.14000000000000001</v>
      </c>
    </row>
    <row r="6" spans="1:13" ht="26">
      <c r="A6" s="16"/>
      <c r="B6" s="6">
        <v>154385</v>
      </c>
      <c r="C6" s="7">
        <v>401060232408</v>
      </c>
      <c r="D6" s="8" t="s">
        <v>16</v>
      </c>
      <c r="E6" s="9" t="s">
        <v>17</v>
      </c>
      <c r="F6" s="10">
        <v>46007</v>
      </c>
      <c r="G6" s="11">
        <v>144</v>
      </c>
      <c r="H6" s="12">
        <v>24</v>
      </c>
      <c r="I6" s="12">
        <f t="shared" ref="I6:I11" si="0">G6/H6</f>
        <v>6</v>
      </c>
      <c r="J6" s="13" t="s">
        <v>18</v>
      </c>
      <c r="K6" s="14">
        <v>29</v>
      </c>
      <c r="L6" s="14">
        <v>35.5</v>
      </c>
      <c r="M6" s="15">
        <v>0.28000000000000003</v>
      </c>
    </row>
    <row r="7" spans="1:13" ht="26">
      <c r="A7" s="16"/>
      <c r="B7" s="6">
        <v>154385</v>
      </c>
      <c r="C7" s="7">
        <v>401060232422</v>
      </c>
      <c r="D7" s="8" t="s">
        <v>16</v>
      </c>
      <c r="E7" s="9" t="s">
        <v>17</v>
      </c>
      <c r="F7" s="10">
        <v>46007</v>
      </c>
      <c r="G7" s="11">
        <v>264</v>
      </c>
      <c r="H7" s="12">
        <v>24</v>
      </c>
      <c r="I7" s="12">
        <f t="shared" si="0"/>
        <v>11</v>
      </c>
      <c r="J7" s="13" t="s">
        <v>18</v>
      </c>
      <c r="K7" s="14">
        <v>58.5</v>
      </c>
      <c r="L7" s="14">
        <v>70.5</v>
      </c>
      <c r="M7" s="15">
        <v>0.51</v>
      </c>
    </row>
    <row r="8" spans="1:13" ht="26">
      <c r="A8" s="16"/>
      <c r="B8" s="6">
        <v>154385</v>
      </c>
      <c r="C8" s="7">
        <v>401060232446</v>
      </c>
      <c r="D8" s="8" t="s">
        <v>16</v>
      </c>
      <c r="E8" s="9" t="s">
        <v>17</v>
      </c>
      <c r="F8" s="10">
        <v>46007</v>
      </c>
      <c r="G8" s="11">
        <v>384</v>
      </c>
      <c r="H8" s="12">
        <v>24</v>
      </c>
      <c r="I8" s="12">
        <f t="shared" si="0"/>
        <v>16</v>
      </c>
      <c r="J8" s="13" t="s">
        <v>18</v>
      </c>
      <c r="K8" s="14">
        <v>88</v>
      </c>
      <c r="L8" s="14">
        <v>105.6</v>
      </c>
      <c r="M8" s="15">
        <v>0.74199999999999999</v>
      </c>
    </row>
    <row r="9" spans="1:13" ht="26">
      <c r="A9" s="16"/>
      <c r="B9" s="6">
        <v>154385</v>
      </c>
      <c r="C9" s="7">
        <v>401060232460</v>
      </c>
      <c r="D9" s="8" t="s">
        <v>16</v>
      </c>
      <c r="E9" s="9" t="s">
        <v>17</v>
      </c>
      <c r="F9" s="10">
        <v>46007</v>
      </c>
      <c r="G9" s="11">
        <v>288</v>
      </c>
      <c r="H9" s="12">
        <v>24</v>
      </c>
      <c r="I9" s="12">
        <f t="shared" si="0"/>
        <v>12</v>
      </c>
      <c r="J9" s="13" t="s">
        <v>18</v>
      </c>
      <c r="K9" s="14">
        <v>70</v>
      </c>
      <c r="L9" s="14">
        <v>83</v>
      </c>
      <c r="M9" s="15">
        <v>0.55700000000000005</v>
      </c>
    </row>
    <row r="10" spans="1:13" ht="26">
      <c r="A10" s="16"/>
      <c r="B10" s="6">
        <v>154385</v>
      </c>
      <c r="C10" s="7">
        <v>401060232484</v>
      </c>
      <c r="D10" s="8" t="s">
        <v>16</v>
      </c>
      <c r="E10" s="9" t="s">
        <v>17</v>
      </c>
      <c r="F10" s="10">
        <v>46007</v>
      </c>
      <c r="G10" s="11">
        <v>168</v>
      </c>
      <c r="H10" s="12">
        <v>24</v>
      </c>
      <c r="I10" s="12">
        <f t="shared" si="0"/>
        <v>7</v>
      </c>
      <c r="J10" s="13" t="s">
        <v>18</v>
      </c>
      <c r="K10" s="14">
        <v>42</v>
      </c>
      <c r="L10" s="14">
        <v>50</v>
      </c>
      <c r="M10" s="9">
        <v>0.32500000000000001</v>
      </c>
    </row>
    <row r="11" spans="1:13" ht="26">
      <c r="A11" s="16"/>
      <c r="B11" s="6">
        <v>154385</v>
      </c>
      <c r="C11" s="7">
        <v>401060232507</v>
      </c>
      <c r="D11" s="8" t="s">
        <v>16</v>
      </c>
      <c r="E11" s="9" t="s">
        <v>17</v>
      </c>
      <c r="F11" s="10">
        <v>46007</v>
      </c>
      <c r="G11" s="11">
        <v>96</v>
      </c>
      <c r="H11" s="12">
        <v>24</v>
      </c>
      <c r="I11" s="12">
        <f t="shared" si="0"/>
        <v>4</v>
      </c>
      <c r="J11" s="13" t="s">
        <v>18</v>
      </c>
      <c r="K11" s="14">
        <v>26</v>
      </c>
      <c r="L11" s="14">
        <v>30.5</v>
      </c>
      <c r="M11" s="9">
        <v>0.186</v>
      </c>
    </row>
    <row r="12" spans="1:13">
      <c r="A12" s="16"/>
      <c r="B12" s="6"/>
      <c r="C12" s="9"/>
      <c r="D12" s="17"/>
      <c r="E12" s="18"/>
      <c r="F12" s="10"/>
      <c r="G12" s="19"/>
      <c r="H12" s="12"/>
      <c r="I12" s="12"/>
      <c r="J12" s="13"/>
      <c r="K12" s="20"/>
      <c r="L12" s="20"/>
      <c r="M12" s="21"/>
    </row>
    <row r="13" spans="1:13">
      <c r="A13" s="22"/>
      <c r="B13" s="37"/>
      <c r="C13" s="37"/>
      <c r="D13" s="37"/>
      <c r="E13" s="37"/>
      <c r="F13" s="38"/>
      <c r="G13" s="37"/>
      <c r="H13" s="37"/>
      <c r="I13" s="37"/>
      <c r="J13" s="37"/>
      <c r="K13" s="37"/>
      <c r="L13" s="37"/>
      <c r="M13" s="23"/>
    </row>
    <row r="14" spans="1:13" ht="15" thickBot="1">
      <c r="A14" s="22"/>
      <c r="B14" s="39"/>
      <c r="C14" s="39"/>
      <c r="D14" s="39"/>
      <c r="E14" s="39"/>
      <c r="F14" s="40"/>
      <c r="G14" s="39"/>
      <c r="H14" s="39"/>
      <c r="I14" s="39"/>
      <c r="J14" s="39"/>
      <c r="K14" s="39"/>
      <c r="L14" s="39"/>
      <c r="M14" s="23"/>
    </row>
    <row r="15" spans="1:13" ht="15" thickBot="1">
      <c r="A15" s="22"/>
      <c r="B15" s="30" t="s">
        <v>14</v>
      </c>
      <c r="C15" s="31"/>
      <c r="D15" s="29"/>
      <c r="E15" s="29"/>
      <c r="F15" s="25"/>
      <c r="G15" s="32"/>
      <c r="H15" s="32"/>
      <c r="I15" s="26">
        <f>SUM(I5:I14)</f>
        <v>59</v>
      </c>
      <c r="J15" s="26"/>
      <c r="K15" s="27">
        <f>SUM(K5:K14)</f>
        <v>326.5</v>
      </c>
      <c r="L15" s="27">
        <f>SUM(L5:L14)</f>
        <v>391.6</v>
      </c>
      <c r="M15" s="28">
        <f>SUM(M5:M14)</f>
        <v>2.74</v>
      </c>
    </row>
  </sheetData>
  <mergeCells count="7">
    <mergeCell ref="B1:M1"/>
    <mergeCell ref="B2:L2"/>
    <mergeCell ref="B3:L3"/>
    <mergeCell ref="B13:L13"/>
    <mergeCell ref="B14:L14"/>
    <mergeCell ref="B15:C15"/>
    <mergeCell ref="G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6B04-37E5-474B-8CDD-CFFC1C31662F}">
  <dimension ref="A1:M12"/>
  <sheetViews>
    <sheetView workbookViewId="0">
      <selection activeCell="B10" sqref="B10:L10"/>
    </sheetView>
  </sheetViews>
  <sheetFormatPr defaultRowHeight="14.5"/>
  <cols>
    <col min="1" max="1" width="12.6328125" bestFit="1" customWidth="1"/>
    <col min="3" max="3" width="14" bestFit="1" customWidth="1"/>
    <col min="4" max="4" width="22.26953125" bestFit="1" customWidth="1"/>
    <col min="10" max="10" width="11.90625" customWidth="1"/>
  </cols>
  <sheetData>
    <row r="1" spans="1:13" ht="19.5" customHeight="1">
      <c r="B1" s="33" t="s">
        <v>0</v>
      </c>
      <c r="C1" s="33"/>
      <c r="D1" s="33"/>
      <c r="E1" s="33"/>
      <c r="F1" s="34"/>
      <c r="G1" s="33"/>
      <c r="H1" s="33"/>
      <c r="I1" s="33"/>
      <c r="J1" s="33"/>
      <c r="K1" s="33"/>
      <c r="L1" s="33"/>
      <c r="M1" s="33"/>
    </row>
    <row r="2" spans="1:13">
      <c r="B2" s="35"/>
      <c r="C2" s="35"/>
      <c r="D2" s="35"/>
      <c r="E2" s="35"/>
      <c r="F2" s="36"/>
      <c r="G2" s="35"/>
      <c r="H2" s="35"/>
      <c r="I2" s="35"/>
      <c r="J2" s="35"/>
      <c r="K2" s="35"/>
      <c r="L2" s="35"/>
    </row>
    <row r="3" spans="1:13">
      <c r="B3" s="35"/>
      <c r="C3" s="35"/>
      <c r="D3" s="35"/>
      <c r="E3" s="35"/>
      <c r="F3" s="36"/>
      <c r="G3" s="35"/>
      <c r="H3" s="35"/>
      <c r="I3" s="35"/>
      <c r="J3" s="35"/>
      <c r="K3" s="35"/>
      <c r="L3" s="35"/>
    </row>
    <row r="4" spans="1:13" ht="39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ht="26">
      <c r="A5" s="5" t="s">
        <v>20</v>
      </c>
      <c r="B5" s="6">
        <v>160218</v>
      </c>
      <c r="C5" s="41">
        <v>452051060852</v>
      </c>
      <c r="D5" s="8" t="s">
        <v>16</v>
      </c>
      <c r="E5" s="9" t="s">
        <v>17</v>
      </c>
      <c r="F5" s="10">
        <v>46014</v>
      </c>
      <c r="G5" s="11">
        <v>24</v>
      </c>
      <c r="H5" s="12">
        <v>24</v>
      </c>
      <c r="I5" s="12">
        <f>G5/H5</f>
        <v>1</v>
      </c>
      <c r="J5" s="13" t="s">
        <v>18</v>
      </c>
      <c r="K5" s="14">
        <v>4.8</v>
      </c>
      <c r="L5" s="14">
        <v>5.9</v>
      </c>
      <c r="M5" s="15">
        <v>4.3999999999999997E-2</v>
      </c>
    </row>
    <row r="6" spans="1:13" ht="26">
      <c r="A6" s="16"/>
      <c r="B6" s="6">
        <v>160218</v>
      </c>
      <c r="C6" s="41">
        <v>452051060937</v>
      </c>
      <c r="D6" s="8" t="s">
        <v>16</v>
      </c>
      <c r="E6" s="9" t="s">
        <v>17</v>
      </c>
      <c r="F6" s="10">
        <v>46014</v>
      </c>
      <c r="G6" s="11">
        <v>24</v>
      </c>
      <c r="H6" s="12">
        <v>24</v>
      </c>
      <c r="I6" s="12">
        <f t="shared" ref="I6:I8" si="0">G6/H6</f>
        <v>1</v>
      </c>
      <c r="J6" s="13" t="s">
        <v>18</v>
      </c>
      <c r="K6" s="14">
        <v>5.3</v>
      </c>
      <c r="L6" s="14">
        <v>6.4</v>
      </c>
      <c r="M6" s="15">
        <v>4.3999999999999997E-2</v>
      </c>
    </row>
    <row r="7" spans="1:13" ht="26">
      <c r="A7" s="16"/>
      <c r="B7" s="6">
        <v>160218</v>
      </c>
      <c r="C7" s="42">
        <v>452051061019</v>
      </c>
      <c r="D7" s="8" t="s">
        <v>16</v>
      </c>
      <c r="E7" s="9" t="s">
        <v>17</v>
      </c>
      <c r="F7" s="10">
        <v>46014</v>
      </c>
      <c r="G7" s="11">
        <v>24</v>
      </c>
      <c r="H7" s="12">
        <v>24</v>
      </c>
      <c r="I7" s="12">
        <f t="shared" si="0"/>
        <v>1</v>
      </c>
      <c r="J7" s="13" t="s">
        <v>18</v>
      </c>
      <c r="K7" s="14">
        <v>5.6</v>
      </c>
      <c r="L7" s="14">
        <v>6.7</v>
      </c>
      <c r="M7" s="15">
        <v>4.3999999999999997E-2</v>
      </c>
    </row>
    <row r="8" spans="1:13" ht="26">
      <c r="A8" s="16"/>
      <c r="B8" s="6">
        <v>160218</v>
      </c>
      <c r="C8" s="42">
        <v>452051061194</v>
      </c>
      <c r="D8" s="8" t="s">
        <v>16</v>
      </c>
      <c r="E8" s="9" t="s">
        <v>17</v>
      </c>
      <c r="F8" s="10">
        <v>46014</v>
      </c>
      <c r="G8" s="11">
        <v>24</v>
      </c>
      <c r="H8" s="12">
        <v>24</v>
      </c>
      <c r="I8" s="12">
        <f t="shared" si="0"/>
        <v>1</v>
      </c>
      <c r="J8" s="13" t="s">
        <v>18</v>
      </c>
      <c r="K8" s="14">
        <v>6</v>
      </c>
      <c r="L8" s="14">
        <v>7.1</v>
      </c>
      <c r="M8" s="15">
        <v>4.3999999999999997E-2</v>
      </c>
    </row>
    <row r="9" spans="1:13">
      <c r="A9" s="16"/>
      <c r="B9" s="6"/>
      <c r="C9" s="9"/>
      <c r="D9" s="17"/>
      <c r="E9" s="18"/>
      <c r="F9" s="10"/>
      <c r="G9" s="19"/>
      <c r="H9" s="12"/>
      <c r="I9" s="12"/>
      <c r="J9" s="13"/>
      <c r="K9" s="20"/>
      <c r="L9" s="20"/>
      <c r="M9" s="21"/>
    </row>
    <row r="10" spans="1:13">
      <c r="A10" s="22"/>
      <c r="B10" s="37"/>
      <c r="C10" s="37"/>
      <c r="D10" s="37"/>
      <c r="E10" s="37"/>
      <c r="F10" s="38"/>
      <c r="G10" s="37"/>
      <c r="H10" s="37"/>
      <c r="I10" s="37"/>
      <c r="J10" s="37"/>
      <c r="K10" s="37"/>
      <c r="L10" s="37"/>
      <c r="M10" s="23"/>
    </row>
    <row r="11" spans="1:13" ht="15" thickBot="1">
      <c r="A11" s="22"/>
      <c r="B11" s="39"/>
      <c r="C11" s="39"/>
      <c r="D11" s="39"/>
      <c r="E11" s="39"/>
      <c r="F11" s="40"/>
      <c r="G11" s="39"/>
      <c r="H11" s="39"/>
      <c r="I11" s="39"/>
      <c r="J11" s="39"/>
      <c r="K11" s="39"/>
      <c r="L11" s="39"/>
      <c r="M11" s="23"/>
    </row>
    <row r="12" spans="1:13" ht="15" thickBot="1">
      <c r="A12" s="22"/>
      <c r="B12" s="30" t="s">
        <v>14</v>
      </c>
      <c r="C12" s="31"/>
      <c r="D12" s="29"/>
      <c r="E12" s="29"/>
      <c r="F12" s="25"/>
      <c r="G12" s="32"/>
      <c r="H12" s="32"/>
      <c r="I12" s="26">
        <f>SUM(I5:I11)</f>
        <v>4</v>
      </c>
      <c r="J12" s="26"/>
      <c r="K12" s="27">
        <f>SUM(K5:K11)</f>
        <v>21.7</v>
      </c>
      <c r="L12" s="27">
        <f>SUM(L5:L11)</f>
        <v>26.1</v>
      </c>
      <c r="M12" s="28">
        <f>SUM(M5:M11)</f>
        <v>0.17599999999999999</v>
      </c>
    </row>
  </sheetData>
  <mergeCells count="7">
    <mergeCell ref="B1:M1"/>
    <mergeCell ref="B2:L2"/>
    <mergeCell ref="B3:L3"/>
    <mergeCell ref="B10:L10"/>
    <mergeCell ref="B11:L11"/>
    <mergeCell ref="B12:C12"/>
    <mergeCell ref="G12:H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4010-D90E-4E92-8F78-958C7E39331D}">
  <dimension ref="A1:M12"/>
  <sheetViews>
    <sheetView workbookViewId="0">
      <selection activeCell="B10" sqref="B10:L10"/>
    </sheetView>
  </sheetViews>
  <sheetFormatPr defaultRowHeight="14.5"/>
  <cols>
    <col min="1" max="1" width="12.6328125" bestFit="1" customWidth="1"/>
    <col min="3" max="3" width="14" bestFit="1" customWidth="1"/>
    <col min="4" max="4" width="22.26953125" bestFit="1" customWidth="1"/>
    <col min="10" max="10" width="12.453125" customWidth="1"/>
  </cols>
  <sheetData>
    <row r="1" spans="1:13" ht="19.5">
      <c r="B1" s="33" t="s">
        <v>0</v>
      </c>
      <c r="C1" s="33"/>
      <c r="D1" s="33"/>
      <c r="E1" s="33"/>
      <c r="F1" s="34"/>
      <c r="G1" s="33"/>
      <c r="H1" s="33"/>
      <c r="I1" s="33"/>
      <c r="J1" s="33"/>
      <c r="K1" s="33"/>
      <c r="L1" s="33"/>
      <c r="M1" s="33"/>
    </row>
    <row r="2" spans="1:13">
      <c r="B2" s="35"/>
      <c r="C2" s="35"/>
      <c r="D2" s="35"/>
      <c r="E2" s="35"/>
      <c r="F2" s="36"/>
      <c r="G2" s="35"/>
      <c r="H2" s="35"/>
      <c r="I2" s="35"/>
      <c r="J2" s="35"/>
      <c r="K2" s="35"/>
      <c r="L2" s="35"/>
    </row>
    <row r="3" spans="1:13">
      <c r="B3" s="35"/>
      <c r="C3" s="35"/>
      <c r="D3" s="35"/>
      <c r="E3" s="35"/>
      <c r="F3" s="36"/>
      <c r="G3" s="35"/>
      <c r="H3" s="35"/>
      <c r="I3" s="35"/>
      <c r="J3" s="35"/>
      <c r="K3" s="35"/>
      <c r="L3" s="35"/>
    </row>
    <row r="4" spans="1:13" ht="52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ht="29.5" customHeight="1">
      <c r="A5" s="5" t="s">
        <v>21</v>
      </c>
      <c r="B5" s="6">
        <v>160219</v>
      </c>
      <c r="C5" s="43">
        <v>452051060852</v>
      </c>
      <c r="D5" s="8" t="s">
        <v>16</v>
      </c>
      <c r="E5" s="9" t="s">
        <v>17</v>
      </c>
      <c r="F5" s="10">
        <v>46014</v>
      </c>
      <c r="G5" s="11">
        <v>24</v>
      </c>
      <c r="H5" s="12">
        <v>24</v>
      </c>
      <c r="I5" s="12">
        <f>G5/H5</f>
        <v>1</v>
      </c>
      <c r="J5" s="13" t="s">
        <v>18</v>
      </c>
      <c r="K5" s="14">
        <v>4.8</v>
      </c>
      <c r="L5" s="14">
        <v>5.9</v>
      </c>
      <c r="M5" s="15">
        <v>4.3999999999999997E-2</v>
      </c>
    </row>
    <row r="6" spans="1:13" ht="26">
      <c r="A6" s="16"/>
      <c r="B6" s="6">
        <v>160219</v>
      </c>
      <c r="C6" s="43">
        <v>452051060937</v>
      </c>
      <c r="D6" s="8" t="s">
        <v>16</v>
      </c>
      <c r="E6" s="9" t="s">
        <v>17</v>
      </c>
      <c r="F6" s="10">
        <v>46014</v>
      </c>
      <c r="G6" s="11">
        <v>24</v>
      </c>
      <c r="H6" s="12">
        <v>24</v>
      </c>
      <c r="I6" s="12">
        <f t="shared" ref="I6:I8" si="0">G6/H6</f>
        <v>1</v>
      </c>
      <c r="J6" s="13" t="s">
        <v>18</v>
      </c>
      <c r="K6" s="14">
        <v>5.3</v>
      </c>
      <c r="L6" s="14">
        <v>6.4</v>
      </c>
      <c r="M6" s="15">
        <v>4.3999999999999997E-2</v>
      </c>
    </row>
    <row r="7" spans="1:13" ht="26">
      <c r="A7" s="16"/>
      <c r="B7" s="6">
        <v>160219</v>
      </c>
      <c r="C7" s="44">
        <v>452051061019</v>
      </c>
      <c r="D7" s="8" t="s">
        <v>16</v>
      </c>
      <c r="E7" s="9" t="s">
        <v>17</v>
      </c>
      <c r="F7" s="10">
        <v>46014</v>
      </c>
      <c r="G7" s="11">
        <v>24</v>
      </c>
      <c r="H7" s="12">
        <v>24</v>
      </c>
      <c r="I7" s="12">
        <f t="shared" si="0"/>
        <v>1</v>
      </c>
      <c r="J7" s="13" t="s">
        <v>18</v>
      </c>
      <c r="K7" s="14">
        <v>5.6</v>
      </c>
      <c r="L7" s="14">
        <v>6.7</v>
      </c>
      <c r="M7" s="15">
        <v>4.3999999999999997E-2</v>
      </c>
    </row>
    <row r="8" spans="1:13" ht="26">
      <c r="A8" s="16"/>
      <c r="B8" s="6">
        <v>160219</v>
      </c>
      <c r="C8" s="44">
        <v>452051061194</v>
      </c>
      <c r="D8" s="8" t="s">
        <v>16</v>
      </c>
      <c r="E8" s="9" t="s">
        <v>17</v>
      </c>
      <c r="F8" s="10">
        <v>46014</v>
      </c>
      <c r="G8" s="11">
        <v>24</v>
      </c>
      <c r="H8" s="12">
        <v>24</v>
      </c>
      <c r="I8" s="12">
        <f t="shared" si="0"/>
        <v>1</v>
      </c>
      <c r="J8" s="13" t="s">
        <v>18</v>
      </c>
      <c r="K8" s="14">
        <v>6</v>
      </c>
      <c r="L8" s="14">
        <v>7.1</v>
      </c>
      <c r="M8" s="15">
        <v>4.3999999999999997E-2</v>
      </c>
    </row>
    <row r="9" spans="1:13">
      <c r="A9" s="16"/>
      <c r="B9" s="6"/>
      <c r="C9" s="9"/>
      <c r="D9" s="17"/>
      <c r="E9" s="18"/>
      <c r="F9" s="10"/>
      <c r="G9" s="19"/>
      <c r="H9" s="12"/>
      <c r="I9" s="12"/>
      <c r="J9" s="13"/>
      <c r="K9" s="20"/>
      <c r="L9" s="20"/>
      <c r="M9" s="21"/>
    </row>
    <row r="10" spans="1:13">
      <c r="A10" s="22"/>
      <c r="B10" s="37"/>
      <c r="C10" s="37"/>
      <c r="D10" s="37"/>
      <c r="E10" s="37"/>
      <c r="F10" s="38"/>
      <c r="G10" s="37"/>
      <c r="H10" s="37"/>
      <c r="I10" s="37"/>
      <c r="J10" s="37"/>
      <c r="K10" s="37"/>
      <c r="L10" s="37"/>
      <c r="M10" s="23"/>
    </row>
    <row r="11" spans="1:13" ht="15" thickBot="1">
      <c r="A11" s="22"/>
      <c r="B11" s="39"/>
      <c r="C11" s="39"/>
      <c r="D11" s="39"/>
      <c r="E11" s="39"/>
      <c r="F11" s="40"/>
      <c r="G11" s="39"/>
      <c r="H11" s="39"/>
      <c r="I11" s="39"/>
      <c r="J11" s="39"/>
      <c r="K11" s="39"/>
      <c r="L11" s="39"/>
      <c r="M11" s="23"/>
    </row>
    <row r="12" spans="1:13" ht="15" thickBot="1">
      <c r="A12" s="22"/>
      <c r="B12" s="30" t="s">
        <v>14</v>
      </c>
      <c r="C12" s="31"/>
      <c r="D12" s="29"/>
      <c r="E12" s="29"/>
      <c r="F12" s="25"/>
      <c r="G12" s="32"/>
      <c r="H12" s="32"/>
      <c r="I12" s="26">
        <f>SUM(I5:I11)</f>
        <v>4</v>
      </c>
      <c r="J12" s="26"/>
      <c r="K12" s="27">
        <f>SUM(K5:K11)</f>
        <v>21.7</v>
      </c>
      <c r="L12" s="27">
        <f>SUM(L5:L11)</f>
        <v>26.1</v>
      </c>
      <c r="M12" s="28">
        <f>SUM(M5:M11)</f>
        <v>0.17599999999999999</v>
      </c>
    </row>
  </sheetData>
  <mergeCells count="7">
    <mergeCell ref="B1:M1"/>
    <mergeCell ref="B2:L2"/>
    <mergeCell ref="B3:L3"/>
    <mergeCell ref="B10:L10"/>
    <mergeCell ref="B11:L11"/>
    <mergeCell ref="B12:C12"/>
    <mergeCell ref="G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E5CB-E617-4C25-A394-2690D80C80C2}">
  <dimension ref="A1:M12"/>
  <sheetViews>
    <sheetView tabSelected="1" workbookViewId="0">
      <selection activeCell="M9" sqref="M9"/>
    </sheetView>
  </sheetViews>
  <sheetFormatPr defaultRowHeight="14.5"/>
  <cols>
    <col min="1" max="1" width="12.6328125" bestFit="1" customWidth="1"/>
    <col min="3" max="3" width="12.90625" bestFit="1" customWidth="1"/>
    <col min="4" max="4" width="22.26953125" bestFit="1" customWidth="1"/>
    <col min="10" max="10" width="12.08984375" customWidth="1"/>
  </cols>
  <sheetData>
    <row r="1" spans="1:13" ht="19.5">
      <c r="B1" s="33" t="s">
        <v>0</v>
      </c>
      <c r="C1" s="33"/>
      <c r="D1" s="33"/>
      <c r="E1" s="33"/>
      <c r="F1" s="34"/>
      <c r="G1" s="33"/>
      <c r="H1" s="33"/>
      <c r="I1" s="33"/>
      <c r="J1" s="33"/>
      <c r="K1" s="33"/>
      <c r="L1" s="33"/>
      <c r="M1" s="33"/>
    </row>
    <row r="2" spans="1:13">
      <c r="B2" s="35"/>
      <c r="C2" s="35"/>
      <c r="D2" s="35"/>
      <c r="E2" s="35"/>
      <c r="F2" s="36"/>
      <c r="G2" s="35"/>
      <c r="H2" s="35"/>
      <c r="I2" s="35"/>
      <c r="J2" s="35"/>
      <c r="K2" s="35"/>
      <c r="L2" s="35"/>
    </row>
    <row r="3" spans="1:13">
      <c r="B3" s="35"/>
      <c r="C3" s="35"/>
      <c r="D3" s="35"/>
      <c r="E3" s="35"/>
      <c r="F3" s="36"/>
      <c r="G3" s="35"/>
      <c r="H3" s="35"/>
      <c r="I3" s="35"/>
      <c r="J3" s="35"/>
      <c r="K3" s="35"/>
      <c r="L3" s="35"/>
    </row>
    <row r="4" spans="1:13" ht="39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ht="26">
      <c r="A5" s="5" t="s">
        <v>21</v>
      </c>
      <c r="B5" s="6">
        <v>160219</v>
      </c>
      <c r="C5" s="45">
        <v>887734774779</v>
      </c>
      <c r="D5" s="8" t="s">
        <v>16</v>
      </c>
      <c r="E5" s="9" t="s">
        <v>17</v>
      </c>
      <c r="F5" s="10">
        <v>46014</v>
      </c>
      <c r="G5" s="11">
        <v>192</v>
      </c>
      <c r="H5" s="12">
        <v>24</v>
      </c>
      <c r="I5" s="12">
        <f>G5/H5</f>
        <v>8</v>
      </c>
      <c r="J5" s="13" t="s">
        <v>22</v>
      </c>
      <c r="K5" s="14">
        <v>46.4</v>
      </c>
      <c r="L5" s="14">
        <v>56</v>
      </c>
      <c r="M5" s="15">
        <v>0.48</v>
      </c>
    </row>
    <row r="6" spans="1:13" ht="26">
      <c r="A6" s="16"/>
      <c r="B6" s="6">
        <v>160219</v>
      </c>
      <c r="C6" s="45">
        <v>887734774786</v>
      </c>
      <c r="D6" s="8" t="s">
        <v>16</v>
      </c>
      <c r="E6" s="9" t="s">
        <v>17</v>
      </c>
      <c r="F6" s="10">
        <v>46014</v>
      </c>
      <c r="G6" s="11">
        <v>288</v>
      </c>
      <c r="H6" s="12">
        <v>24</v>
      </c>
      <c r="I6" s="12">
        <f t="shared" ref="I6:I8" si="0">G6/H6</f>
        <v>12</v>
      </c>
      <c r="J6" s="13" t="s">
        <v>22</v>
      </c>
      <c r="K6" s="14">
        <v>70</v>
      </c>
      <c r="L6" s="14">
        <v>84</v>
      </c>
      <c r="M6" s="15">
        <v>0.72</v>
      </c>
    </row>
    <row r="7" spans="1:13" ht="26">
      <c r="A7" s="16"/>
      <c r="B7" s="6">
        <v>160219</v>
      </c>
      <c r="C7" s="45">
        <v>887734774793</v>
      </c>
      <c r="D7" s="8" t="s">
        <v>16</v>
      </c>
      <c r="E7" s="9" t="s">
        <v>17</v>
      </c>
      <c r="F7" s="10">
        <v>46014</v>
      </c>
      <c r="G7" s="11">
        <v>288</v>
      </c>
      <c r="H7" s="12">
        <v>24</v>
      </c>
      <c r="I7" s="12">
        <f t="shared" si="0"/>
        <v>12</v>
      </c>
      <c r="J7" s="13" t="s">
        <v>22</v>
      </c>
      <c r="K7" s="14">
        <v>78</v>
      </c>
      <c r="L7" s="14">
        <v>92.5</v>
      </c>
      <c r="M7" s="15">
        <v>0.72</v>
      </c>
    </row>
    <row r="8" spans="1:13" ht="26">
      <c r="A8" s="16"/>
      <c r="B8" s="6">
        <v>160219</v>
      </c>
      <c r="C8" s="45">
        <v>887734774809</v>
      </c>
      <c r="D8" s="8" t="s">
        <v>16</v>
      </c>
      <c r="E8" s="9" t="s">
        <v>17</v>
      </c>
      <c r="F8" s="10">
        <v>46014</v>
      </c>
      <c r="G8" s="11">
        <v>192</v>
      </c>
      <c r="H8" s="12">
        <v>24</v>
      </c>
      <c r="I8" s="12">
        <f t="shared" si="0"/>
        <v>8</v>
      </c>
      <c r="J8" s="13" t="s">
        <v>22</v>
      </c>
      <c r="K8" s="14">
        <v>56</v>
      </c>
      <c r="L8" s="14">
        <v>65.599999999999994</v>
      </c>
      <c r="M8" s="15">
        <v>0.48</v>
      </c>
    </row>
    <row r="9" spans="1:13">
      <c r="A9" s="16"/>
      <c r="B9" s="6"/>
      <c r="C9" s="9"/>
      <c r="D9" s="17"/>
      <c r="E9" s="18"/>
      <c r="F9" s="10"/>
      <c r="G9" s="19"/>
      <c r="H9" s="12"/>
      <c r="I9" s="12"/>
      <c r="J9" s="13"/>
      <c r="K9" s="20"/>
      <c r="L9" s="20"/>
      <c r="M9" s="21"/>
    </row>
    <row r="10" spans="1:13">
      <c r="A10" s="22"/>
      <c r="B10" s="37"/>
      <c r="C10" s="37"/>
      <c r="D10" s="37"/>
      <c r="E10" s="37"/>
      <c r="F10" s="38"/>
      <c r="G10" s="37"/>
      <c r="H10" s="37"/>
      <c r="I10" s="37"/>
      <c r="J10" s="37"/>
      <c r="K10" s="37"/>
      <c r="L10" s="37"/>
      <c r="M10" s="23"/>
    </row>
    <row r="11" spans="1:13" ht="15" thickBot="1">
      <c r="A11" s="22"/>
      <c r="B11" s="39"/>
      <c r="C11" s="39"/>
      <c r="D11" s="39"/>
      <c r="E11" s="39"/>
      <c r="F11" s="40"/>
      <c r="G11" s="39"/>
      <c r="H11" s="39"/>
      <c r="I11" s="39"/>
      <c r="J11" s="39"/>
      <c r="K11" s="39"/>
      <c r="L11" s="39"/>
      <c r="M11" s="23"/>
    </row>
    <row r="12" spans="1:13" ht="15" thickBot="1">
      <c r="A12" s="22"/>
      <c r="B12" s="30" t="s">
        <v>14</v>
      </c>
      <c r="C12" s="31"/>
      <c r="D12" s="29"/>
      <c r="E12" s="29"/>
      <c r="F12" s="25"/>
      <c r="G12" s="32"/>
      <c r="H12" s="32"/>
      <c r="I12" s="26">
        <f>SUM(I5:I11)</f>
        <v>40</v>
      </c>
      <c r="J12" s="26"/>
      <c r="K12" s="27">
        <f>SUM(K5:K11)</f>
        <v>250.4</v>
      </c>
      <c r="L12" s="27">
        <f>SUM(L5:L11)</f>
        <v>298.10000000000002</v>
      </c>
      <c r="M12" s="28">
        <f>SUM(M5:M11)</f>
        <v>2.4</v>
      </c>
    </row>
  </sheetData>
  <mergeCells count="7">
    <mergeCell ref="B1:M1"/>
    <mergeCell ref="B2:L2"/>
    <mergeCell ref="B3:L3"/>
    <mergeCell ref="B10:L10"/>
    <mergeCell ref="B11:L11"/>
    <mergeCell ref="B12:C12"/>
    <mergeCell ref="G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 154477</vt:lpstr>
      <vt:lpstr>PO 154385</vt:lpstr>
      <vt:lpstr>PO 160218</vt:lpstr>
      <vt:lpstr>PO 160219</vt:lpstr>
      <vt:lpstr>PO 159289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2025-12-03T12:11:44Z</dcterms:modified>
</cp:coreProperties>
</file>